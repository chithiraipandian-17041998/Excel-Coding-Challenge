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2992" windowHeight="6876" activeTab="1"/>
  </bookViews>
  <sheets>
    <sheet name="Instructions" sheetId="1" r:id="rId1"/>
    <sheet name="Woking Output Sheet" sheetId="3" r:id="rId2"/>
    <sheet name="Dataset" sheetId="2" r:id="rId3"/>
  </sheets>
  <definedNames>
    <definedName name="_xlnm._FilterDatabase" localSheetId="1" hidden="1">'Woking Output Sheet'!$A$2:$N$33</definedName>
  </definedNames>
  <calcPr calcId="152511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7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R4" i="3" l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" i="3"/>
  <c r="P7" i="3" l="1"/>
  <c r="P4" i="3"/>
  <c r="P5" i="3"/>
  <c r="P6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" i="3"/>
  <c r="O7" i="3"/>
  <c r="O15" i="3"/>
  <c r="O23" i="3"/>
  <c r="O31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" i="3"/>
  <c r="M4" i="3"/>
  <c r="O4" i="3" s="1"/>
  <c r="M5" i="3"/>
  <c r="O5" i="3" s="1"/>
  <c r="M6" i="3"/>
  <c r="O6" i="3" s="1"/>
  <c r="M7" i="3"/>
  <c r="M8" i="3"/>
  <c r="M9" i="3"/>
  <c r="O9" i="3" s="1"/>
  <c r="M10" i="3"/>
  <c r="O10" i="3" s="1"/>
  <c r="M11" i="3"/>
  <c r="O11" i="3" s="1"/>
  <c r="M12" i="3"/>
  <c r="O12" i="3" s="1"/>
  <c r="M13" i="3"/>
  <c r="O13" i="3" s="1"/>
  <c r="M14" i="3"/>
  <c r="O14" i="3" s="1"/>
  <c r="M15" i="3"/>
  <c r="M16" i="3"/>
  <c r="M17" i="3"/>
  <c r="O17" i="3" s="1"/>
  <c r="M18" i="3"/>
  <c r="O18" i="3" s="1"/>
  <c r="M19" i="3"/>
  <c r="O19" i="3" s="1"/>
  <c r="M20" i="3"/>
  <c r="O20" i="3" s="1"/>
  <c r="M21" i="3"/>
  <c r="O21" i="3" s="1"/>
  <c r="M22" i="3"/>
  <c r="O22" i="3" s="1"/>
  <c r="M23" i="3"/>
  <c r="M24" i="3"/>
  <c r="M25" i="3"/>
  <c r="O25" i="3" s="1"/>
  <c r="M26" i="3"/>
  <c r="O26" i="3" s="1"/>
  <c r="M27" i="3"/>
  <c r="O27" i="3" s="1"/>
  <c r="M28" i="3"/>
  <c r="O28" i="3" s="1"/>
  <c r="M29" i="3"/>
  <c r="O29" i="3" s="1"/>
  <c r="M30" i="3"/>
  <c r="O30" i="3" s="1"/>
  <c r="M31" i="3"/>
  <c r="M32" i="3"/>
  <c r="M33" i="3"/>
  <c r="O33" i="3" s="1"/>
  <c r="M3" i="3"/>
  <c r="O3" i="3" s="1"/>
  <c r="O32" i="3" l="1"/>
  <c r="O24" i="3"/>
  <c r="O16" i="3"/>
  <c r="O8" i="3"/>
  <c r="J4" i="3" l="1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" i="3"/>
  <c r="H22" i="3"/>
  <c r="Q22" i="3" s="1"/>
  <c r="H3" i="3"/>
  <c r="Q3" i="3" s="1"/>
  <c r="H4" i="3"/>
  <c r="Q4" i="3" s="1"/>
  <c r="H5" i="3"/>
  <c r="Q5" i="3" s="1"/>
  <c r="H6" i="3"/>
  <c r="Q6" i="3" s="1"/>
  <c r="H7" i="3"/>
  <c r="Q7" i="3" s="1"/>
  <c r="H8" i="3"/>
  <c r="Q8" i="3" s="1"/>
  <c r="H9" i="3"/>
  <c r="Q9" i="3" s="1"/>
  <c r="H10" i="3"/>
  <c r="Q10" i="3" s="1"/>
  <c r="H11" i="3"/>
  <c r="Q11" i="3" s="1"/>
  <c r="H12" i="3"/>
  <c r="Q12" i="3" s="1"/>
  <c r="H13" i="3"/>
  <c r="Q13" i="3" s="1"/>
  <c r="H14" i="3"/>
  <c r="Q14" i="3" s="1"/>
  <c r="H15" i="3"/>
  <c r="Q15" i="3" s="1"/>
  <c r="H16" i="3"/>
  <c r="Q16" i="3" s="1"/>
  <c r="H17" i="3"/>
  <c r="Q17" i="3" s="1"/>
  <c r="H18" i="3"/>
  <c r="Q18" i="3" s="1"/>
  <c r="H19" i="3"/>
  <c r="Q19" i="3" s="1"/>
  <c r="H20" i="3"/>
  <c r="Q20" i="3" s="1"/>
  <c r="H21" i="3"/>
  <c r="Q21" i="3" s="1"/>
  <c r="H23" i="3"/>
  <c r="Q23" i="3" s="1"/>
  <c r="H24" i="3"/>
  <c r="Q24" i="3" s="1"/>
  <c r="H25" i="3"/>
  <c r="Q25" i="3" s="1"/>
  <c r="H26" i="3"/>
  <c r="Q26" i="3" s="1"/>
  <c r="H27" i="3"/>
  <c r="Q27" i="3" s="1"/>
  <c r="H28" i="3"/>
  <c r="Q28" i="3" s="1"/>
  <c r="H29" i="3"/>
  <c r="Q29" i="3" s="1"/>
  <c r="H30" i="3"/>
  <c r="Q30" i="3" s="1"/>
  <c r="H31" i="3"/>
  <c r="Q31" i="3" s="1"/>
  <c r="H32" i="3"/>
  <c r="Q32" i="3" s="1"/>
  <c r="H33" i="3"/>
  <c r="Q33" i="3" s="1"/>
</calcChain>
</file>

<file path=xl/sharedStrings.xml><?xml version="1.0" encoding="utf-8"?>
<sst xmlns="http://schemas.openxmlformats.org/spreadsheetml/2006/main" count="321" uniqueCount="126">
  <si>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</si>
  <si>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</si>
  <si>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</si>
  <si>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</si>
  <si>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</si>
  <si>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</si>
  <si>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</si>
  <si>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</si>
  <si>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</si>
  <si>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</si>
  <si>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</si>
  <si>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</si>
  <si>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</si>
  <si>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</si>
  <si>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</si>
  <si>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</si>
  <si>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</si>
  <si>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</si>
  <si>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</si>
  <si>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</si>
  <si>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</si>
  <si>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</si>
  <si>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</si>
  <si>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</si>
  <si>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</si>
  <si>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</si>
  <si>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</si>
  <si>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</si>
  <si>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</si>
  <si>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</si>
  <si>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</si>
  <si>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</si>
  <si>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</si>
  <si>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</si>
  <si>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</si>
  <si>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</si>
  <si>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</si>
  <si>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</si>
  <si>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</si>
  <si>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</si>
  <si>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</si>
  <si>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</si>
  <si>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</si>
  <si>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</si>
  <si>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</si>
  <si>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</si>
  <si>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</si>
  <si>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</si>
  <si>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</si>
  <si>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</si>
  <si>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</si>
  <si>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</si>
  <si>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</si>
  <si>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</si>
  <si>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</si>
  <si>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</si>
  <si>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</si>
  <si>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</si>
  <si>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</si>
  <si>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</si>
  <si>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</si>
  <si>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</si>
  <si>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</si>
  <si>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</si>
  <si>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</si>
  <si>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</si>
  <si>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</si>
  <si>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</si>
  <si>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</si>
  <si>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</si>
  <si>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</si>
  <si>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</si>
  <si>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</si>
  <si>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</si>
  <si>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</si>
  <si>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</si>
  <si>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</si>
  <si>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</si>
  <si>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</si>
  <si>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</si>
  <si>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</si>
  <si>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</si>
  <si>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</si>
  <si>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</si>
  <si>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</si>
  <si>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</si>
  <si>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</si>
  <si>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</si>
  <si>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</si>
  <si>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</si>
  <si>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</si>
  <si>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</si>
  <si>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</si>
  <si>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</si>
  <si>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</si>
  <si>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</si>
  <si>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</si>
  <si>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</si>
  <si>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</si>
  <si>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</si>
  <si>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</si>
  <si>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</si>
  <si>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</si>
  <si>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</si>
  <si>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</si>
  <si>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</si>
  <si>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</si>
  <si>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</si>
  <si>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</si>
  <si>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</si>
  <si>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</si>
  <si>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</si>
  <si>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</si>
  <si>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</si>
  <si>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</si>
  <si>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Price Missing Value</t>
  </si>
  <si>
    <t>2. Category Missing Value</t>
  </si>
  <si>
    <t xml:space="preserve">3. Text Format In Product Name  </t>
  </si>
  <si>
    <t>4. Typos Present Category Colum</t>
  </si>
  <si>
    <t>5. Find and Replace Function</t>
  </si>
  <si>
    <t xml:space="preserve">Manufacturing Date </t>
  </si>
  <si>
    <t>Country Code</t>
  </si>
  <si>
    <t xml:space="preserve">Product Brand </t>
  </si>
  <si>
    <t>Price (Currency)</t>
  </si>
  <si>
    <t>Manufacturing Date 2</t>
  </si>
  <si>
    <t>Price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</si>
</sst>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dd/mm/yyyy;@"/>
    <numFmt numFmtId="165" formatCode="&quot;₹&quot;\ #,##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14009]dd/mm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₹&quot;\ 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14009]dd/mm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14009]dd/mm/yyyy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2:R33" totalsRowShown="0" headerRowDxfId="21" dataDxfId="19" headerRowBorderDxfId="20" tableBorderDxfId="18" totalsRowBorderDxfId="17">
  <autoFilter ref="B2:R33"/>
  <tableColumns count="17">
    <tableColumn id="1" name="Product ID" dataDxfId="16"/>
    <tableColumn id="2" name="Product Name" dataDxfId="15"/>
    <tableColumn id="3" name="Brand Name" dataDxfId="14"/>
    <tableColumn id="4" name="Price ($)" dataDxfId="13"/>
    <tableColumn id="5" name="Quantity" dataDxfId="12"/>
    <tableColumn id="6" name="Category" dataDxfId="11"/>
    <tableColumn id="7" name="1. Price Missing Value" dataDxfId="10">
      <calculatedColumnFormula>+IF(E3="",AVERAGEIF(C$3:C$33,C3,E$3:E$33),E3)</calculatedColumnFormula>
    </tableColumn>
    <tableColumn id="8" name="2. Category Missing Value" dataDxfId="0">
      <calculatedColumnFormula>+VLOOKUP(Table2[[#This Row],[Product Name]],Table2[[Product Name]:[Category]],5,0)</calculatedColumnFormula>
    </tableColumn>
    <tableColumn id="9" name="3. Text Format In Product Name  " dataDxfId="9">
      <calculatedColumnFormula>+PROPER(C3)</calculatedColumnFormula>
    </tableColumn>
    <tableColumn id="10" name="4. Typos Present Category Colum" dataDxfId="8"/>
    <tableColumn id="11" name="5. Find and Replace Function" dataDxfId="7"/>
    <tableColumn id="12" name="Manufacturing Date " dataDxfId="6">
      <calculatedColumnFormula>+LEFT(B3,6)</calculatedColumnFormula>
    </tableColumn>
    <tableColumn id="13" name="Country Code" dataDxfId="5">
      <calculatedColumnFormula>+RIGHT(B3,2)</calculatedColumnFormula>
    </tableColumn>
    <tableColumn id="14" name="Manufacturing Date 2" dataDxfId="4">
      <calculatedColumnFormula>+TEXT(M3,"dd-mm-yyyy")</calculatedColumnFormula>
    </tableColumn>
    <tableColumn id="15" name="Product Brand " dataDxfId="3">
      <calculatedColumnFormula>+CONCATENATE(C3," ",D3)</calculatedColumnFormula>
    </tableColumn>
    <tableColumn id="16" name="Price (Currency)" dataDxfId="2">
      <calculatedColumnFormula>+H3</calculatedColumnFormula>
    </tableColumn>
    <tableColumn id="17" name="Price Data" dataDxfId="1">
      <calculatedColumnFormula>+IF(Q3&lt;300,"Low Cost",IF(Q3&lt;500,"Average Cost","High Cost"))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topLeftCell="A10" workbookViewId="0">
      <selection activeCell="F25" sqref="F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topLeftCell="F1" zoomScale="85" zoomScaleNormal="85" workbookViewId="0">
      <selection activeCell="J15" sqref="J15"/>
    </sheetView>
  </sheetViews>
  <sheetFormatPr defaultRowHeight="13.2" x14ac:dyDescent="0.25"/>
  <cols>
    <col min="1" max="1" width="8.88671875" style="12"/>
    <col min="2" max="2" width="12.44140625" style="12" customWidth="1"/>
    <col min="3" max="3" width="15.6640625" style="12" customWidth="1"/>
    <col min="4" max="4" width="14" style="12" customWidth="1"/>
    <col min="5" max="6" width="10.44140625" style="12" customWidth="1"/>
    <col min="7" max="7" width="11.109375" style="12" customWidth="1"/>
    <col min="8" max="8" width="17.5546875" style="12" customWidth="1"/>
    <col min="9" max="9" width="18.44140625" style="12" customWidth="1"/>
    <col min="10" max="10" width="23.109375" style="12" customWidth="1"/>
    <col min="11" max="11" width="20.6640625" style="12" customWidth="1"/>
    <col min="12" max="12" width="22.6640625" style="12" customWidth="1"/>
    <col min="13" max="13" width="21.44140625" style="12" customWidth="1"/>
    <col min="14" max="14" width="15.44140625" style="12" customWidth="1"/>
    <col min="15" max="15" width="18.21875" style="12" customWidth="1"/>
    <col min="16" max="16" width="16.77734375" style="12" customWidth="1"/>
    <col min="17" max="17" width="13.77734375" style="12" customWidth="1"/>
    <col min="18" max="18" width="16.5546875" style="12" customWidth="1"/>
    <col min="19" max="16384" width="8.88671875" style="12"/>
  </cols>
  <sheetData>
    <row r="2" spans="2:18" ht="26.4" x14ac:dyDescent="0.25">
      <c r="B2" s="25" t="s">
        <v>19</v>
      </c>
      <c r="C2" s="26" t="s">
        <v>20</v>
      </c>
      <c r="D2" s="26" t="s">
        <v>21</v>
      </c>
      <c r="E2" s="26" t="s">
        <v>22</v>
      </c>
      <c r="F2" s="26" t="s">
        <v>23</v>
      </c>
      <c r="G2" s="26" t="s">
        <v>24</v>
      </c>
      <c r="H2" s="26" t="s">
        <v>115</v>
      </c>
      <c r="I2" s="26" t="s">
        <v>116</v>
      </c>
      <c r="J2" s="26" t="s">
        <v>117</v>
      </c>
      <c r="K2" s="26" t="s">
        <v>118</v>
      </c>
      <c r="L2" s="26" t="s">
        <v>119</v>
      </c>
      <c r="M2" s="26" t="s">
        <v>120</v>
      </c>
      <c r="N2" s="26" t="s">
        <v>121</v>
      </c>
      <c r="O2" s="26" t="s">
        <v>124</v>
      </c>
      <c r="P2" s="26" t="s">
        <v>122</v>
      </c>
      <c r="Q2" s="26" t="s">
        <v>123</v>
      </c>
      <c r="R2" s="27" t="s">
        <v>125</v>
      </c>
    </row>
    <row r="3" spans="2:18" x14ac:dyDescent="0.25">
      <c r="B3" s="22" t="s">
        <v>25</v>
      </c>
      <c r="C3" s="17" t="s">
        <v>26</v>
      </c>
      <c r="D3" s="13" t="s">
        <v>27</v>
      </c>
      <c r="E3" s="13">
        <v>1000</v>
      </c>
      <c r="F3" s="13">
        <v>30</v>
      </c>
      <c r="G3" s="13" t="s">
        <v>28</v>
      </c>
      <c r="H3" s="13">
        <f t="shared" ref="H3:H21" si="0">+IF(E3="",AVERAGEIF(C$3:C$33,C3,E$3:E$33),E3)</f>
        <v>1000</v>
      </c>
      <c r="I3" s="13" t="str">
        <f>+VLOOKUP(Table2[[#This Row],[Product Name]],Table2[[Product Name]:[Category]],5,1)</f>
        <v>Electronics</v>
      </c>
      <c r="J3" s="13" t="str">
        <f t="shared" ref="J3:J33" si="1">+PROPER(C3)</f>
        <v>Laptop</v>
      </c>
      <c r="K3" s="16" t="b">
        <v>1</v>
      </c>
      <c r="L3" s="13" t="s">
        <v>28</v>
      </c>
      <c r="M3" s="20" t="str">
        <f>+LEFT(B3,6)</f>
        <v>28-JAN</v>
      </c>
      <c r="N3" s="13" t="str">
        <f>+RIGHT(B3,2)</f>
        <v>US</v>
      </c>
      <c r="O3" s="19" t="str">
        <f>+TEXT(M3,"dd-mm-yyyy")</f>
        <v>28-01-2026</v>
      </c>
      <c r="P3" s="19" t="str">
        <f>+CONCATENATE(C3," ",D3)</f>
        <v>laptop Dell</v>
      </c>
      <c r="Q3" s="21">
        <f>+H3</f>
        <v>1000</v>
      </c>
      <c r="R3" s="24" t="str">
        <f>+IF(Q3&lt;300,"Low Cost",IF(Q3&lt;500,"Average Cost","High Cost"))</f>
        <v>High Cost</v>
      </c>
    </row>
    <row r="4" spans="2:18" x14ac:dyDescent="0.25">
      <c r="B4" s="23" t="s">
        <v>29</v>
      </c>
      <c r="C4" s="18" t="s">
        <v>30</v>
      </c>
      <c r="D4" s="14" t="s">
        <v>31</v>
      </c>
      <c r="E4" s="14">
        <v>80</v>
      </c>
      <c r="F4" s="14">
        <v>15</v>
      </c>
      <c r="G4" s="14" t="s">
        <v>32</v>
      </c>
      <c r="H4" s="13">
        <f t="shared" si="0"/>
        <v>80</v>
      </c>
      <c r="I4" s="13" t="str">
        <f>+VLOOKUP(Table2[[#This Row],[Product Name]],Table2[[Product Name]:[Category]],5,0)</f>
        <v>Fashion</v>
      </c>
      <c r="J4" s="13" t="str">
        <f t="shared" si="1"/>
        <v>Sneakers</v>
      </c>
      <c r="K4" s="16" t="b">
        <v>1</v>
      </c>
      <c r="L4" s="14" t="s">
        <v>32</v>
      </c>
      <c r="M4" s="13" t="str">
        <f t="shared" ref="M4:M33" si="2">+LEFT(B4,6)</f>
        <v>15-FEB</v>
      </c>
      <c r="N4" s="13" t="str">
        <f t="shared" ref="N4:N33" si="3">+RIGHT(B4,2)</f>
        <v>US</v>
      </c>
      <c r="O4" s="19" t="str">
        <f t="shared" ref="O4:O33" si="4">+TEXT(M4,"dd-mm-yyyy")</f>
        <v>15-02-2026</v>
      </c>
      <c r="P4" s="19" t="str">
        <f t="shared" ref="P4:P33" si="5">+CONCATENATE(C4," ",D4)</f>
        <v>Sneakers Nike</v>
      </c>
      <c r="Q4" s="21">
        <f t="shared" ref="Q4:Q33" si="6">+H4</f>
        <v>80</v>
      </c>
      <c r="R4" s="24" t="str">
        <f t="shared" ref="R4:R33" si="7">+IF(Q4&lt;300,"Low Cost",IF(Q4&lt;500,"Average Cost","High Cost"))</f>
        <v>Low Cost</v>
      </c>
    </row>
    <row r="5" spans="2:18" ht="26.4" x14ac:dyDescent="0.25">
      <c r="B5" s="22" t="s">
        <v>33</v>
      </c>
      <c r="C5" s="17" t="s">
        <v>34</v>
      </c>
      <c r="D5" s="13" t="s">
        <v>35</v>
      </c>
      <c r="E5" s="13">
        <v>130</v>
      </c>
      <c r="F5" s="13">
        <v>40</v>
      </c>
      <c r="G5" s="13" t="s">
        <v>36</v>
      </c>
      <c r="H5" s="13">
        <f t="shared" si="0"/>
        <v>130</v>
      </c>
      <c r="I5" s="13" t="str">
        <f>+VLOOKUP(Table2[[#This Row],[Product Name]],Table2[[Product Name]:[Category]],5,0)</f>
        <v>Kitchen</v>
      </c>
      <c r="J5" s="13" t="str">
        <f t="shared" si="1"/>
        <v>Coffee Maker</v>
      </c>
      <c r="K5" s="16" t="b">
        <v>1</v>
      </c>
      <c r="L5" s="13" t="s">
        <v>36</v>
      </c>
      <c r="M5" s="13" t="str">
        <f t="shared" si="2"/>
        <v>03-MAR</v>
      </c>
      <c r="N5" s="13" t="str">
        <f t="shared" si="3"/>
        <v>US</v>
      </c>
      <c r="O5" s="19" t="str">
        <f t="shared" si="4"/>
        <v>03-03-2026</v>
      </c>
      <c r="P5" s="19" t="str">
        <f t="shared" si="5"/>
        <v>Coffee Maker Keurig</v>
      </c>
      <c r="Q5" s="21">
        <f t="shared" si="6"/>
        <v>130</v>
      </c>
      <c r="R5" s="24" t="str">
        <f t="shared" si="7"/>
        <v>Low Cost</v>
      </c>
    </row>
    <row r="6" spans="2:18" ht="26.4" x14ac:dyDescent="0.25">
      <c r="B6" s="23" t="s">
        <v>37</v>
      </c>
      <c r="C6" s="18" t="s">
        <v>38</v>
      </c>
      <c r="D6" s="14" t="s">
        <v>39</v>
      </c>
      <c r="E6" s="14">
        <v>900</v>
      </c>
      <c r="F6" s="14">
        <v>25</v>
      </c>
      <c r="G6" s="14" t="s">
        <v>28</v>
      </c>
      <c r="H6" s="13">
        <f t="shared" si="0"/>
        <v>900</v>
      </c>
      <c r="I6" s="13" t="str">
        <f>+VLOOKUP(Table2[[#This Row],[Product Name]],Table2[[Product Name]:[Category]],5,0)</f>
        <v>Electronics</v>
      </c>
      <c r="J6" s="13" t="str">
        <f t="shared" si="1"/>
        <v>Smartphone</v>
      </c>
      <c r="K6" s="16" t="b">
        <v>1</v>
      </c>
      <c r="L6" s="14" t="s">
        <v>28</v>
      </c>
      <c r="M6" s="13" t="str">
        <f t="shared" si="2"/>
        <v>11-APR</v>
      </c>
      <c r="N6" s="13" t="str">
        <f t="shared" si="3"/>
        <v>US</v>
      </c>
      <c r="O6" s="19" t="str">
        <f t="shared" si="4"/>
        <v>11-04-2026</v>
      </c>
      <c r="P6" s="19" t="str">
        <f t="shared" si="5"/>
        <v>smartphone Samsung</v>
      </c>
      <c r="Q6" s="21">
        <f t="shared" si="6"/>
        <v>900</v>
      </c>
      <c r="R6" s="24" t="str">
        <f t="shared" si="7"/>
        <v>High Cost</v>
      </c>
    </row>
    <row r="7" spans="2:18" ht="26.4" x14ac:dyDescent="0.25">
      <c r="B7" s="22" t="s">
        <v>40</v>
      </c>
      <c r="C7" s="17" t="s">
        <v>41</v>
      </c>
      <c r="D7" s="13" t="s">
        <v>42</v>
      </c>
      <c r="E7" s="13">
        <v>70</v>
      </c>
      <c r="F7" s="13">
        <v>20</v>
      </c>
      <c r="G7" s="13"/>
      <c r="H7" s="13">
        <f t="shared" si="0"/>
        <v>70</v>
      </c>
      <c r="I7" s="13">
        <f>+VLOOKUP(Table2[[#This Row],[Product Name]],Table2[[Product Name]:[Category]],5,0)</f>
        <v>0</v>
      </c>
      <c r="J7" s="13" t="str">
        <f>+PROPER(C7)</f>
        <v>Backpack</v>
      </c>
      <c r="K7" s="16" t="b">
        <v>1</v>
      </c>
      <c r="L7" s="13"/>
      <c r="M7" s="13" t="str">
        <f t="shared" si="2"/>
        <v>22-MAY</v>
      </c>
      <c r="N7" s="13" t="str">
        <f t="shared" si="3"/>
        <v>US</v>
      </c>
      <c r="O7" s="19" t="str">
        <f t="shared" si="4"/>
        <v>22-05-2026</v>
      </c>
      <c r="P7" s="19" t="str">
        <f>+CONCATENATE(C7," ",D7)</f>
        <v>Backpack North Face</v>
      </c>
      <c r="Q7" s="21">
        <f t="shared" si="6"/>
        <v>70</v>
      </c>
      <c r="R7" s="24" t="str">
        <f t="shared" si="7"/>
        <v>Low Cost</v>
      </c>
    </row>
    <row r="8" spans="2:18" x14ac:dyDescent="0.25">
      <c r="B8" s="23" t="s">
        <v>43</v>
      </c>
      <c r="C8" s="18" t="s">
        <v>44</v>
      </c>
      <c r="D8" s="14" t="s">
        <v>45</v>
      </c>
      <c r="E8" s="14"/>
      <c r="F8" s="14">
        <v>45</v>
      </c>
      <c r="G8" s="14" t="s">
        <v>28</v>
      </c>
      <c r="H8" s="13">
        <f t="shared" si="0"/>
        <v>250</v>
      </c>
      <c r="I8" s="13" t="str">
        <f>+VLOOKUP(Table2[[#This Row],[Product Name]],Table2[[Product Name]:[Category]],5,0)</f>
        <v>Electronics</v>
      </c>
      <c r="J8" s="13" t="str">
        <f t="shared" si="1"/>
        <v>Headphones</v>
      </c>
      <c r="K8" s="16" t="b">
        <v>0</v>
      </c>
      <c r="L8" s="14" t="s">
        <v>28</v>
      </c>
      <c r="M8" s="13" t="str">
        <f t="shared" si="2"/>
        <v>07-JUN</v>
      </c>
      <c r="N8" s="13" t="str">
        <f t="shared" si="3"/>
        <v>UK</v>
      </c>
      <c r="O8" s="19" t="str">
        <f t="shared" si="4"/>
        <v>07-06-2026</v>
      </c>
      <c r="P8" s="19" t="str">
        <f t="shared" si="5"/>
        <v>Headphones Sony</v>
      </c>
      <c r="Q8" s="21">
        <f t="shared" si="6"/>
        <v>250</v>
      </c>
      <c r="R8" s="24" t="str">
        <f t="shared" si="7"/>
        <v>Low Cost</v>
      </c>
    </row>
    <row r="9" spans="2:18" x14ac:dyDescent="0.25">
      <c r="B9" s="22" t="s">
        <v>46</v>
      </c>
      <c r="C9" s="17" t="s">
        <v>47</v>
      </c>
      <c r="D9" s="13" t="s">
        <v>48</v>
      </c>
      <c r="E9" s="13">
        <v>30</v>
      </c>
      <c r="F9" s="13">
        <v>5</v>
      </c>
      <c r="G9" s="13" t="s">
        <v>32</v>
      </c>
      <c r="H9" s="13">
        <f t="shared" si="0"/>
        <v>30</v>
      </c>
      <c r="I9" s="13" t="str">
        <f>+VLOOKUP(Table2[[#This Row],[Product Name]],Table2[[Product Name]:[Category]],5,0)</f>
        <v>Fashion</v>
      </c>
      <c r="J9" s="13" t="str">
        <f t="shared" si="1"/>
        <v>T-Shirt</v>
      </c>
      <c r="K9" s="16" t="b">
        <v>1</v>
      </c>
      <c r="L9" s="13" t="s">
        <v>32</v>
      </c>
      <c r="M9" s="13" t="str">
        <f t="shared" si="2"/>
        <v>19-JUL</v>
      </c>
      <c r="N9" s="13" t="str">
        <f t="shared" si="3"/>
        <v>UK</v>
      </c>
      <c r="O9" s="19" t="str">
        <f t="shared" si="4"/>
        <v>19-07-2026</v>
      </c>
      <c r="P9" s="19" t="str">
        <f t="shared" si="5"/>
        <v>T-shirt Adidas</v>
      </c>
      <c r="Q9" s="21">
        <f t="shared" si="6"/>
        <v>30</v>
      </c>
      <c r="R9" s="24" t="str">
        <f t="shared" si="7"/>
        <v>Low Cost</v>
      </c>
    </row>
    <row r="10" spans="2:18" x14ac:dyDescent="0.25">
      <c r="B10" s="23" t="s">
        <v>49</v>
      </c>
      <c r="C10" s="18" t="s">
        <v>50</v>
      </c>
      <c r="D10" s="14" t="s">
        <v>51</v>
      </c>
      <c r="E10" s="14">
        <v>90</v>
      </c>
      <c r="F10" s="14">
        <v>35</v>
      </c>
      <c r="G10" s="14" t="s">
        <v>36</v>
      </c>
      <c r="H10" s="13">
        <f t="shared" si="0"/>
        <v>90</v>
      </c>
      <c r="I10" s="13" t="str">
        <f>+VLOOKUP(Table2[[#This Row],[Product Name]],Table2[[Product Name]:[Category]],5,0)</f>
        <v>Kitchen</v>
      </c>
      <c r="J10" s="13" t="str">
        <f t="shared" si="1"/>
        <v>Blender</v>
      </c>
      <c r="K10" s="16" t="b">
        <v>1</v>
      </c>
      <c r="L10" s="14" t="s">
        <v>36</v>
      </c>
      <c r="M10" s="13" t="str">
        <f t="shared" si="2"/>
        <v>23-AUG</v>
      </c>
      <c r="N10" s="13" t="str">
        <f t="shared" si="3"/>
        <v>UK</v>
      </c>
      <c r="O10" s="19" t="str">
        <f t="shared" si="4"/>
        <v>23-08-2026</v>
      </c>
      <c r="P10" s="19" t="str">
        <f t="shared" si="5"/>
        <v>Blender Ninja</v>
      </c>
      <c r="Q10" s="21">
        <f t="shared" si="6"/>
        <v>90</v>
      </c>
      <c r="R10" s="24" t="str">
        <f t="shared" si="7"/>
        <v>Low Cost</v>
      </c>
    </row>
    <row r="11" spans="2:18" x14ac:dyDescent="0.25">
      <c r="B11" s="22" t="s">
        <v>52</v>
      </c>
      <c r="C11" s="17" t="s">
        <v>53</v>
      </c>
      <c r="D11" s="13" t="s">
        <v>54</v>
      </c>
      <c r="E11" s="13">
        <v>500</v>
      </c>
      <c r="F11" s="13">
        <v>50</v>
      </c>
      <c r="G11" s="13" t="s">
        <v>28</v>
      </c>
      <c r="H11" s="13">
        <f t="shared" si="0"/>
        <v>500</v>
      </c>
      <c r="I11" s="13" t="str">
        <f>+VLOOKUP(Table2[[#This Row],[Product Name]],Table2[[Product Name]:[Category]],5,0)</f>
        <v>Electronics</v>
      </c>
      <c r="J11" s="13" t="str">
        <f t="shared" si="1"/>
        <v>Tablet</v>
      </c>
      <c r="K11" s="16" t="b">
        <v>1</v>
      </c>
      <c r="L11" s="13" t="s">
        <v>28</v>
      </c>
      <c r="M11" s="13" t="str">
        <f t="shared" si="2"/>
        <v>05-SEP</v>
      </c>
      <c r="N11" s="13" t="str">
        <f t="shared" si="3"/>
        <v>UK</v>
      </c>
      <c r="O11" s="19" t="str">
        <f t="shared" si="4"/>
        <v>05-09-2026</v>
      </c>
      <c r="P11" s="19" t="str">
        <f t="shared" si="5"/>
        <v>Tablet Apple</v>
      </c>
      <c r="Q11" s="21">
        <f t="shared" si="6"/>
        <v>500</v>
      </c>
      <c r="R11" s="24" t="str">
        <f t="shared" si="7"/>
        <v>High Cost</v>
      </c>
    </row>
    <row r="12" spans="2:18" ht="26.4" x14ac:dyDescent="0.25">
      <c r="B12" s="23" t="s">
        <v>55</v>
      </c>
      <c r="C12" s="18" t="s">
        <v>56</v>
      </c>
      <c r="D12" s="14" t="s">
        <v>57</v>
      </c>
      <c r="E12" s="14">
        <v>130</v>
      </c>
      <c r="F12" s="14">
        <v>10</v>
      </c>
      <c r="G12" s="14" t="s">
        <v>58</v>
      </c>
      <c r="H12" s="13">
        <f t="shared" si="0"/>
        <v>130</v>
      </c>
      <c r="I12" s="13" t="str">
        <f>+VLOOKUP(Table2[[#This Row],[Product Name]],Table2[[Product Name]:[Category]],5,0)</f>
        <v>Outdoor</v>
      </c>
      <c r="J12" s="13" t="str">
        <f t="shared" si="1"/>
        <v>Hiking Boots</v>
      </c>
      <c r="K12" s="16" t="b">
        <v>1</v>
      </c>
      <c r="L12" s="14" t="s">
        <v>58</v>
      </c>
      <c r="M12" s="13" t="str">
        <f t="shared" si="2"/>
        <v>14-OCT</v>
      </c>
      <c r="N12" s="13" t="str">
        <f t="shared" si="3"/>
        <v>UK</v>
      </c>
      <c r="O12" s="19" t="str">
        <f t="shared" si="4"/>
        <v>14-10-2026</v>
      </c>
      <c r="P12" s="19" t="str">
        <f t="shared" si="5"/>
        <v>Hiking Boots Timberland</v>
      </c>
      <c r="Q12" s="21">
        <f t="shared" si="6"/>
        <v>130</v>
      </c>
      <c r="R12" s="24" t="str">
        <f t="shared" si="7"/>
        <v>Low Cost</v>
      </c>
    </row>
    <row r="13" spans="2:18" x14ac:dyDescent="0.25">
      <c r="B13" s="22" t="s">
        <v>59</v>
      </c>
      <c r="C13" s="17" t="s">
        <v>60</v>
      </c>
      <c r="D13" s="13" t="s">
        <v>61</v>
      </c>
      <c r="E13" s="13">
        <v>950</v>
      </c>
      <c r="F13" s="13">
        <v>25</v>
      </c>
      <c r="G13" s="13" t="s">
        <v>28</v>
      </c>
      <c r="H13" s="13">
        <f t="shared" si="0"/>
        <v>950</v>
      </c>
      <c r="I13" s="13" t="str">
        <f>+VLOOKUP(Table2[[#This Row],[Product Name]],Table2[[Product Name]:[Category]],5,0)</f>
        <v>Electronics</v>
      </c>
      <c r="J13" s="13" t="str">
        <f t="shared" si="1"/>
        <v>Laptop</v>
      </c>
      <c r="K13" s="16" t="b">
        <v>1</v>
      </c>
      <c r="L13" s="13" t="s">
        <v>28</v>
      </c>
      <c r="M13" s="13" t="str">
        <f t="shared" si="2"/>
        <v>17-JUN</v>
      </c>
      <c r="N13" s="13" t="str">
        <f t="shared" si="3"/>
        <v>IN</v>
      </c>
      <c r="O13" s="19" t="str">
        <f t="shared" si="4"/>
        <v>17-06-2026</v>
      </c>
      <c r="P13" s="19" t="str">
        <f t="shared" si="5"/>
        <v>Laptop HP</v>
      </c>
      <c r="Q13" s="21">
        <f t="shared" si="6"/>
        <v>950</v>
      </c>
      <c r="R13" s="24" t="str">
        <f t="shared" si="7"/>
        <v>High Cost</v>
      </c>
    </row>
    <row r="14" spans="2:18" x14ac:dyDescent="0.25">
      <c r="B14" s="23" t="s">
        <v>62</v>
      </c>
      <c r="C14" s="18" t="s">
        <v>30</v>
      </c>
      <c r="D14" s="14" t="s">
        <v>48</v>
      </c>
      <c r="E14" s="14">
        <v>90</v>
      </c>
      <c r="F14" s="14">
        <v>40</v>
      </c>
      <c r="G14" s="14"/>
      <c r="H14" s="13">
        <f t="shared" si="0"/>
        <v>90</v>
      </c>
      <c r="I14" s="13" t="str">
        <f>+VLOOKUP(Table2[[#This Row],[Product Name]],Table2[[Product Name]:[Category]],5,0)</f>
        <v>Fashion</v>
      </c>
      <c r="J14" s="13" t="str">
        <f t="shared" si="1"/>
        <v>Sneakers</v>
      </c>
      <c r="K14" s="16" t="b">
        <v>1</v>
      </c>
      <c r="L14" s="14"/>
      <c r="M14" s="13" t="str">
        <f t="shared" si="2"/>
        <v>25-NOV</v>
      </c>
      <c r="N14" s="13" t="str">
        <f t="shared" si="3"/>
        <v>AU</v>
      </c>
      <c r="O14" s="19" t="str">
        <f t="shared" si="4"/>
        <v>25-11-2026</v>
      </c>
      <c r="P14" s="19" t="str">
        <f t="shared" si="5"/>
        <v>Sneakers Adidas</v>
      </c>
      <c r="Q14" s="21">
        <f t="shared" si="6"/>
        <v>90</v>
      </c>
      <c r="R14" s="24" t="str">
        <f t="shared" si="7"/>
        <v>Low Cost</v>
      </c>
    </row>
    <row r="15" spans="2:18" ht="26.4" x14ac:dyDescent="0.25">
      <c r="B15" s="22" t="s">
        <v>63</v>
      </c>
      <c r="C15" s="17" t="s">
        <v>34</v>
      </c>
      <c r="D15" s="13" t="s">
        <v>64</v>
      </c>
      <c r="E15" s="13">
        <v>120</v>
      </c>
      <c r="F15" s="13">
        <v>35</v>
      </c>
      <c r="G15" s="13"/>
      <c r="H15" s="13">
        <f t="shared" si="0"/>
        <v>120</v>
      </c>
      <c r="I15" s="13" t="str">
        <f>+VLOOKUP(Table2[[#This Row],[Product Name]],Table2[[Product Name]:[Category]],5,0)</f>
        <v>Kitchen</v>
      </c>
      <c r="J15" s="13" t="str">
        <f t="shared" si="1"/>
        <v>Coffee Maker</v>
      </c>
      <c r="K15" s="16" t="b">
        <v>1</v>
      </c>
      <c r="L15" s="13"/>
      <c r="M15" s="13" t="str">
        <f t="shared" si="2"/>
        <v>08-DEC</v>
      </c>
      <c r="N15" s="13" t="str">
        <f t="shared" si="3"/>
        <v>DE</v>
      </c>
      <c r="O15" s="19" t="str">
        <f t="shared" si="4"/>
        <v>08-12-2026</v>
      </c>
      <c r="P15" s="19" t="str">
        <f t="shared" si="5"/>
        <v>Coffee Maker Nespresso</v>
      </c>
      <c r="Q15" s="21">
        <f t="shared" si="6"/>
        <v>120</v>
      </c>
      <c r="R15" s="24" t="str">
        <f t="shared" si="7"/>
        <v>Low Cost</v>
      </c>
    </row>
    <row r="16" spans="2:18" x14ac:dyDescent="0.25">
      <c r="B16" s="23" t="s">
        <v>65</v>
      </c>
      <c r="C16" s="18" t="s">
        <v>66</v>
      </c>
      <c r="D16" s="14" t="s">
        <v>67</v>
      </c>
      <c r="E16" s="14">
        <v>150</v>
      </c>
      <c r="F16" s="14">
        <v>15</v>
      </c>
      <c r="G16" s="14" t="s">
        <v>28</v>
      </c>
      <c r="H16" s="13">
        <f t="shared" si="0"/>
        <v>150</v>
      </c>
      <c r="I16" s="13" t="str">
        <f>+VLOOKUP(Table2[[#This Row],[Product Name]],Table2[[Product Name]:[Category]],5,0)</f>
        <v>Electronics</v>
      </c>
      <c r="J16" s="13" t="str">
        <f t="shared" si="1"/>
        <v>Smartwatch</v>
      </c>
      <c r="K16" s="16" t="b">
        <v>0</v>
      </c>
      <c r="L16" s="14" t="s">
        <v>28</v>
      </c>
      <c r="M16" s="13" t="str">
        <f t="shared" si="2"/>
        <v>18-FEB</v>
      </c>
      <c r="N16" s="13" t="str">
        <f t="shared" si="3"/>
        <v>CA</v>
      </c>
      <c r="O16" s="19" t="str">
        <f t="shared" si="4"/>
        <v>18-02-2026</v>
      </c>
      <c r="P16" s="19" t="str">
        <f t="shared" si="5"/>
        <v>Smartwatch Fitbit</v>
      </c>
      <c r="Q16" s="21">
        <f t="shared" si="6"/>
        <v>150</v>
      </c>
      <c r="R16" s="24" t="str">
        <f t="shared" si="7"/>
        <v>Low Cost</v>
      </c>
    </row>
    <row r="17" spans="2:18" x14ac:dyDescent="0.25">
      <c r="B17" s="22" t="s">
        <v>68</v>
      </c>
      <c r="C17" s="17" t="s">
        <v>69</v>
      </c>
      <c r="D17" s="13" t="s">
        <v>70</v>
      </c>
      <c r="E17" s="13">
        <v>250</v>
      </c>
      <c r="F17" s="13">
        <v>20</v>
      </c>
      <c r="G17" s="13" t="s">
        <v>28</v>
      </c>
      <c r="H17" s="13">
        <f t="shared" si="0"/>
        <v>250</v>
      </c>
      <c r="I17" s="13" t="str">
        <f>+VLOOKUP(Table2[[#This Row],[Product Name]],Table2[[Product Name]:[Category]],5,0)</f>
        <v>Electronics</v>
      </c>
      <c r="J17" s="13" t="str">
        <f t="shared" si="1"/>
        <v>Headphones</v>
      </c>
      <c r="K17" s="16" t="b">
        <v>0</v>
      </c>
      <c r="L17" s="13" t="s">
        <v>28</v>
      </c>
      <c r="M17" s="13" t="str">
        <f t="shared" si="2"/>
        <v>16-APR</v>
      </c>
      <c r="N17" s="13" t="str">
        <f t="shared" si="3"/>
        <v>ES</v>
      </c>
      <c r="O17" s="19" t="str">
        <f t="shared" si="4"/>
        <v>16-04-2026</v>
      </c>
      <c r="P17" s="19" t="str">
        <f t="shared" si="5"/>
        <v>headphones Bose</v>
      </c>
      <c r="Q17" s="21">
        <f t="shared" si="6"/>
        <v>250</v>
      </c>
      <c r="R17" s="24" t="str">
        <f t="shared" si="7"/>
        <v>Low Cost</v>
      </c>
    </row>
    <row r="18" spans="2:18" ht="26.4" x14ac:dyDescent="0.25">
      <c r="B18" s="23" t="s">
        <v>71</v>
      </c>
      <c r="C18" s="18" t="s">
        <v>72</v>
      </c>
      <c r="D18" s="14" t="s">
        <v>73</v>
      </c>
      <c r="E18" s="14">
        <v>50</v>
      </c>
      <c r="F18" s="14">
        <v>35</v>
      </c>
      <c r="G18" s="14" t="s">
        <v>74</v>
      </c>
      <c r="H18" s="13">
        <f t="shared" si="0"/>
        <v>50</v>
      </c>
      <c r="I18" s="13" t="str">
        <f>+VLOOKUP(Table2[[#This Row],[Product Name]],Table2[[Product Name]:[Category]],5,0)</f>
        <v>Accessories</v>
      </c>
      <c r="J18" s="13" t="str">
        <f t="shared" si="1"/>
        <v>Laptop Bag</v>
      </c>
      <c r="K18" s="16" t="b">
        <v>1</v>
      </c>
      <c r="L18" s="14" t="s">
        <v>74</v>
      </c>
      <c r="M18" s="13" t="str">
        <f t="shared" si="2"/>
        <v>21-AUG</v>
      </c>
      <c r="N18" s="13" t="str">
        <f t="shared" si="3"/>
        <v>CA</v>
      </c>
      <c r="O18" s="19" t="str">
        <f t="shared" si="4"/>
        <v>21-08-2026</v>
      </c>
      <c r="P18" s="19" t="str">
        <f t="shared" si="5"/>
        <v>Laptop Bag Samsonite</v>
      </c>
      <c r="Q18" s="21">
        <f t="shared" si="6"/>
        <v>50</v>
      </c>
      <c r="R18" s="24" t="str">
        <f t="shared" si="7"/>
        <v>Low Cost</v>
      </c>
    </row>
    <row r="19" spans="2:18" ht="26.4" x14ac:dyDescent="0.25">
      <c r="B19" s="22" t="s">
        <v>75</v>
      </c>
      <c r="C19" s="17" t="s">
        <v>66</v>
      </c>
      <c r="D19" s="13" t="s">
        <v>76</v>
      </c>
      <c r="E19" s="13">
        <v>160</v>
      </c>
      <c r="F19" s="13">
        <v>15</v>
      </c>
      <c r="G19" s="13" t="s">
        <v>28</v>
      </c>
      <c r="H19" s="13">
        <f t="shared" si="0"/>
        <v>160</v>
      </c>
      <c r="I19" s="13" t="str">
        <f>+VLOOKUP(Table2[[#This Row],[Product Name]],Table2[[Product Name]:[Category]],5,0)</f>
        <v>Electronics</v>
      </c>
      <c r="J19" s="13" t="str">
        <f t="shared" si="1"/>
        <v>Smartwatch</v>
      </c>
      <c r="K19" s="16" t="b">
        <v>0</v>
      </c>
      <c r="L19" s="13" t="s">
        <v>28</v>
      </c>
      <c r="M19" s="13" t="str">
        <f t="shared" si="2"/>
        <v>20-AUG</v>
      </c>
      <c r="N19" s="13" t="str">
        <f t="shared" si="3"/>
        <v>CN</v>
      </c>
      <c r="O19" s="19" t="str">
        <f t="shared" si="4"/>
        <v>20-08-2026</v>
      </c>
      <c r="P19" s="19" t="str">
        <f t="shared" si="5"/>
        <v>Smartwatch Huawei</v>
      </c>
      <c r="Q19" s="21">
        <f t="shared" si="6"/>
        <v>160</v>
      </c>
      <c r="R19" s="24" t="str">
        <f t="shared" si="7"/>
        <v>Low Cost</v>
      </c>
    </row>
    <row r="20" spans="2:18" x14ac:dyDescent="0.25">
      <c r="B20" s="23" t="s">
        <v>77</v>
      </c>
      <c r="C20" s="18" t="s">
        <v>26</v>
      </c>
      <c r="D20" s="14" t="s">
        <v>78</v>
      </c>
      <c r="E20" s="14">
        <v>980</v>
      </c>
      <c r="F20" s="14">
        <v>10</v>
      </c>
      <c r="G20" s="14" t="s">
        <v>28</v>
      </c>
      <c r="H20" s="13">
        <f t="shared" si="0"/>
        <v>980</v>
      </c>
      <c r="I20" s="13" t="str">
        <f>+VLOOKUP(Table2[[#This Row],[Product Name]],Table2[[Product Name]:[Category]],5,0)</f>
        <v>Electronics</v>
      </c>
      <c r="J20" s="13" t="str">
        <f t="shared" si="1"/>
        <v>Laptop</v>
      </c>
      <c r="K20" s="16" t="b">
        <v>1</v>
      </c>
      <c r="L20" s="14" t="s">
        <v>28</v>
      </c>
      <c r="M20" s="13" t="str">
        <f t="shared" si="2"/>
        <v>27-JAN</v>
      </c>
      <c r="N20" s="13" t="str">
        <f t="shared" si="3"/>
        <v>IT</v>
      </c>
      <c r="O20" s="19" t="str">
        <f t="shared" si="4"/>
        <v>27-01-2026</v>
      </c>
      <c r="P20" s="19" t="str">
        <f t="shared" si="5"/>
        <v>laptop Asus</v>
      </c>
      <c r="Q20" s="21">
        <f t="shared" si="6"/>
        <v>980</v>
      </c>
      <c r="R20" s="24" t="str">
        <f t="shared" si="7"/>
        <v>High Cost</v>
      </c>
    </row>
    <row r="21" spans="2:18" x14ac:dyDescent="0.25">
      <c r="B21" s="22" t="s">
        <v>79</v>
      </c>
      <c r="C21" s="17" t="s">
        <v>80</v>
      </c>
      <c r="D21" s="13" t="s">
        <v>81</v>
      </c>
      <c r="E21" s="13">
        <v>150</v>
      </c>
      <c r="F21" s="13">
        <v>15</v>
      </c>
      <c r="G21" s="13" t="s">
        <v>32</v>
      </c>
      <c r="H21" s="13">
        <f t="shared" si="0"/>
        <v>150</v>
      </c>
      <c r="I21" s="13" t="str">
        <f>+VLOOKUP(Table2[[#This Row],[Product Name]],Table2[[Product Name]:[Category]],5,0)</f>
        <v>Fashion</v>
      </c>
      <c r="J21" s="13" t="str">
        <f t="shared" si="1"/>
        <v>Sunglasses</v>
      </c>
      <c r="K21" s="16" t="b">
        <v>1</v>
      </c>
      <c r="L21" s="13" t="s">
        <v>32</v>
      </c>
      <c r="M21" s="13" t="str">
        <f t="shared" si="2"/>
        <v>01-MAR</v>
      </c>
      <c r="N21" s="13" t="str">
        <f t="shared" si="3"/>
        <v>UK</v>
      </c>
      <c r="O21" s="19" t="str">
        <f t="shared" si="4"/>
        <v>01-03-2026</v>
      </c>
      <c r="P21" s="19" t="str">
        <f t="shared" si="5"/>
        <v>Sunglasses Oakley</v>
      </c>
      <c r="Q21" s="21">
        <f t="shared" si="6"/>
        <v>150</v>
      </c>
      <c r="R21" s="24" t="str">
        <f t="shared" si="7"/>
        <v>Low Cost</v>
      </c>
    </row>
    <row r="22" spans="2:18" ht="26.4" x14ac:dyDescent="0.25">
      <c r="B22" s="23" t="s">
        <v>82</v>
      </c>
      <c r="C22" s="18" t="s">
        <v>83</v>
      </c>
      <c r="D22" s="14" t="s">
        <v>84</v>
      </c>
      <c r="E22" s="14"/>
      <c r="F22" s="14">
        <v>10</v>
      </c>
      <c r="G22" s="14" t="s">
        <v>58</v>
      </c>
      <c r="H22" s="15">
        <f>+IF(E22="",AVERAGE(E$3:E$33),E22)</f>
        <v>297.85714285714283</v>
      </c>
      <c r="I22" s="13" t="str">
        <f>+VLOOKUP(Table2[[#This Row],[Product Name]],Table2[[Product Name]:[Category]],5,0)</f>
        <v>Outdoor</v>
      </c>
      <c r="J22" s="13" t="str">
        <f t="shared" si="1"/>
        <v>Camping Tent</v>
      </c>
      <c r="K22" s="16" t="b">
        <v>1</v>
      </c>
      <c r="L22" s="14" t="s">
        <v>58</v>
      </c>
      <c r="M22" s="13" t="str">
        <f t="shared" si="2"/>
        <v>14-AUG</v>
      </c>
      <c r="N22" s="13" t="str">
        <f t="shared" si="3"/>
        <v>US</v>
      </c>
      <c r="O22" s="19" t="str">
        <f t="shared" si="4"/>
        <v>14-08-2026</v>
      </c>
      <c r="P22" s="19" t="str">
        <f t="shared" si="5"/>
        <v>Camping Tent Coleman</v>
      </c>
      <c r="Q22" s="21">
        <f t="shared" si="6"/>
        <v>297.85714285714283</v>
      </c>
      <c r="R22" s="24" t="str">
        <f t="shared" si="7"/>
        <v>Low Cost</v>
      </c>
    </row>
    <row r="23" spans="2:18" x14ac:dyDescent="0.25">
      <c r="B23" s="22" t="s">
        <v>85</v>
      </c>
      <c r="C23" s="17" t="s">
        <v>86</v>
      </c>
      <c r="D23" s="13" t="s">
        <v>87</v>
      </c>
      <c r="E23" s="13">
        <v>700</v>
      </c>
      <c r="F23" s="13">
        <v>50</v>
      </c>
      <c r="G23" s="13" t="s">
        <v>28</v>
      </c>
      <c r="H23" s="13">
        <f t="shared" ref="H23:H33" si="8">+IF(E23="",AVERAGEIF(C$3:C$33,C23,E$3:E$33),E23)</f>
        <v>700</v>
      </c>
      <c r="I23" s="13" t="str">
        <f>+VLOOKUP(Table2[[#This Row],[Product Name]],Table2[[Product Name]:[Category]],5,0)</f>
        <v>Electronics</v>
      </c>
      <c r="J23" s="13" t="str">
        <f t="shared" si="1"/>
        <v>Camera</v>
      </c>
      <c r="K23" s="16" t="b">
        <v>1</v>
      </c>
      <c r="L23" s="13" t="s">
        <v>28</v>
      </c>
      <c r="M23" s="13" t="str">
        <f t="shared" si="2"/>
        <v>14-MAY</v>
      </c>
      <c r="N23" s="13" t="str">
        <f t="shared" si="3"/>
        <v>RU</v>
      </c>
      <c r="O23" s="19" t="str">
        <f t="shared" si="4"/>
        <v>14-05-2026</v>
      </c>
      <c r="P23" s="19" t="str">
        <f t="shared" si="5"/>
        <v>Camera Nikon</v>
      </c>
      <c r="Q23" s="21">
        <f t="shared" si="6"/>
        <v>700</v>
      </c>
      <c r="R23" s="24" t="str">
        <f t="shared" si="7"/>
        <v>High Cost</v>
      </c>
    </row>
    <row r="24" spans="2:18" ht="26.4" x14ac:dyDescent="0.25">
      <c r="B24" s="23" t="s">
        <v>88</v>
      </c>
      <c r="C24" s="18" t="s">
        <v>89</v>
      </c>
      <c r="D24" s="14" t="s">
        <v>90</v>
      </c>
      <c r="E24" s="14">
        <v>80</v>
      </c>
      <c r="F24" s="14">
        <v>20</v>
      </c>
      <c r="G24" s="14" t="s">
        <v>36</v>
      </c>
      <c r="H24" s="13">
        <f t="shared" si="8"/>
        <v>80</v>
      </c>
      <c r="I24" s="13" t="str">
        <f>+VLOOKUP(Table2[[#This Row],[Product Name]],Table2[[Product Name]:[Category]],5,0)</f>
        <v>Kitchen</v>
      </c>
      <c r="J24" s="13" t="str">
        <f t="shared" si="1"/>
        <v>Microwave</v>
      </c>
      <c r="K24" s="16" t="b">
        <v>1</v>
      </c>
      <c r="L24" s="14" t="s">
        <v>36</v>
      </c>
      <c r="M24" s="13" t="str">
        <f t="shared" si="2"/>
        <v>09-JAN</v>
      </c>
      <c r="N24" s="13" t="str">
        <f t="shared" si="3"/>
        <v>CA</v>
      </c>
      <c r="O24" s="19" t="str">
        <f t="shared" si="4"/>
        <v>09-01-2026</v>
      </c>
      <c r="P24" s="19" t="str">
        <f t="shared" si="5"/>
        <v>Microwave Panasonic</v>
      </c>
      <c r="Q24" s="21">
        <f t="shared" si="6"/>
        <v>80</v>
      </c>
      <c r="R24" s="24" t="str">
        <f t="shared" si="7"/>
        <v>Low Cost</v>
      </c>
    </row>
    <row r="25" spans="2:18" ht="26.4" x14ac:dyDescent="0.25">
      <c r="B25" s="22" t="s">
        <v>91</v>
      </c>
      <c r="C25" s="17" t="s">
        <v>92</v>
      </c>
      <c r="D25" s="13" t="s">
        <v>93</v>
      </c>
      <c r="E25" s="13">
        <v>150</v>
      </c>
      <c r="F25" s="13">
        <v>30</v>
      </c>
      <c r="G25" s="13"/>
      <c r="H25" s="13">
        <f t="shared" si="8"/>
        <v>150</v>
      </c>
      <c r="I25" s="13">
        <f>+VLOOKUP(Table2[[#This Row],[Product Name]],Table2[[Product Name]:[Category]],5,0)</f>
        <v>0</v>
      </c>
      <c r="J25" s="13" t="str">
        <f t="shared" si="1"/>
        <v>Fitness Tracker</v>
      </c>
      <c r="K25" s="16" t="b">
        <v>1</v>
      </c>
      <c r="L25" s="13"/>
      <c r="M25" s="13" t="str">
        <f t="shared" si="2"/>
        <v>19-JUL</v>
      </c>
      <c r="N25" s="13" t="str">
        <f t="shared" si="3"/>
        <v>BR</v>
      </c>
      <c r="O25" s="19" t="str">
        <f t="shared" si="4"/>
        <v>19-07-2026</v>
      </c>
      <c r="P25" s="19" t="str">
        <f t="shared" si="5"/>
        <v>Fitness Tracker Xiaomi</v>
      </c>
      <c r="Q25" s="21">
        <f t="shared" si="6"/>
        <v>150</v>
      </c>
      <c r="R25" s="24" t="str">
        <f t="shared" si="7"/>
        <v>Low Cost</v>
      </c>
    </row>
    <row r="26" spans="2:18" ht="26.4" x14ac:dyDescent="0.25">
      <c r="B26" s="22" t="s">
        <v>94</v>
      </c>
      <c r="C26" s="17" t="s">
        <v>95</v>
      </c>
      <c r="D26" s="13" t="s">
        <v>96</v>
      </c>
      <c r="E26" s="13">
        <v>800</v>
      </c>
      <c r="F26" s="13">
        <v>45</v>
      </c>
      <c r="G26" s="13" t="s">
        <v>28</v>
      </c>
      <c r="H26" s="13">
        <f t="shared" si="8"/>
        <v>800</v>
      </c>
      <c r="I26" s="13" t="str">
        <f>+VLOOKUP(Table2[[#This Row],[Product Name]],Table2[[Product Name]:[Category]],5,0)</f>
        <v>Electronics</v>
      </c>
      <c r="J26" s="13" t="str">
        <f t="shared" si="1"/>
        <v>Smartphone</v>
      </c>
      <c r="K26" s="16" t="b">
        <v>1</v>
      </c>
      <c r="L26" s="13" t="s">
        <v>28</v>
      </c>
      <c r="M26" s="13" t="str">
        <f t="shared" si="2"/>
        <v>29-SEP</v>
      </c>
      <c r="N26" s="13" t="str">
        <f t="shared" si="3"/>
        <v>CA</v>
      </c>
      <c r="O26" s="19" t="str">
        <f t="shared" si="4"/>
        <v>29-09-2026</v>
      </c>
      <c r="P26" s="19" t="str">
        <f t="shared" si="5"/>
        <v>Smartphone Google</v>
      </c>
      <c r="Q26" s="21">
        <f t="shared" si="6"/>
        <v>800</v>
      </c>
      <c r="R26" s="24" t="str">
        <f t="shared" si="7"/>
        <v>High Cost</v>
      </c>
    </row>
    <row r="27" spans="2:18" ht="26.4" x14ac:dyDescent="0.25">
      <c r="B27" s="23" t="s">
        <v>97</v>
      </c>
      <c r="C27" s="18" t="s">
        <v>80</v>
      </c>
      <c r="D27" s="14" t="s">
        <v>98</v>
      </c>
      <c r="E27" s="14"/>
      <c r="F27" s="14">
        <v>25</v>
      </c>
      <c r="G27" s="14" t="s">
        <v>32</v>
      </c>
      <c r="H27" s="13">
        <f t="shared" si="8"/>
        <v>150</v>
      </c>
      <c r="I27" s="13" t="str">
        <f>+VLOOKUP(Table2[[#This Row],[Product Name]],Table2[[Product Name]:[Category]],5,0)</f>
        <v>Fashion</v>
      </c>
      <c r="J27" s="13" t="str">
        <f t="shared" si="1"/>
        <v>Sunglasses</v>
      </c>
      <c r="K27" s="16" t="b">
        <v>1</v>
      </c>
      <c r="L27" s="14" t="s">
        <v>32</v>
      </c>
      <c r="M27" s="13" t="str">
        <f t="shared" si="2"/>
        <v>03-JUN</v>
      </c>
      <c r="N27" s="13" t="str">
        <f t="shared" si="3"/>
        <v>CA</v>
      </c>
      <c r="O27" s="19" t="str">
        <f t="shared" si="4"/>
        <v>03-06-2026</v>
      </c>
      <c r="P27" s="19" t="str">
        <f t="shared" si="5"/>
        <v>Sunglasses Ray-Ban</v>
      </c>
      <c r="Q27" s="21">
        <f t="shared" si="6"/>
        <v>150</v>
      </c>
      <c r="R27" s="24" t="str">
        <f t="shared" si="7"/>
        <v>Low Cost</v>
      </c>
    </row>
    <row r="28" spans="2:18" x14ac:dyDescent="0.25">
      <c r="B28" s="22" t="s">
        <v>99</v>
      </c>
      <c r="C28" s="17" t="s">
        <v>50</v>
      </c>
      <c r="D28" s="13" t="s">
        <v>100</v>
      </c>
      <c r="E28" s="13">
        <v>400</v>
      </c>
      <c r="F28" s="13">
        <v>40</v>
      </c>
      <c r="G28" s="13" t="s">
        <v>36</v>
      </c>
      <c r="H28" s="13">
        <f t="shared" si="8"/>
        <v>400</v>
      </c>
      <c r="I28" s="13" t="str">
        <f>+VLOOKUP(Table2[[#This Row],[Product Name]],Table2[[Product Name]:[Category]],5,0)</f>
        <v>Kitchen</v>
      </c>
      <c r="J28" s="13" t="str">
        <f t="shared" si="1"/>
        <v>Blender</v>
      </c>
      <c r="K28" s="16" t="b">
        <v>1</v>
      </c>
      <c r="L28" s="13" t="s">
        <v>36</v>
      </c>
      <c r="M28" s="13" t="str">
        <f t="shared" si="2"/>
        <v>11-JUL</v>
      </c>
      <c r="N28" s="13" t="str">
        <f t="shared" si="3"/>
        <v>CA</v>
      </c>
      <c r="O28" s="19" t="str">
        <f t="shared" si="4"/>
        <v>11-07-2026</v>
      </c>
      <c r="P28" s="19" t="str">
        <f t="shared" si="5"/>
        <v>Blender Vitamix</v>
      </c>
      <c r="Q28" s="21">
        <f t="shared" si="6"/>
        <v>400</v>
      </c>
      <c r="R28" s="24" t="str">
        <f t="shared" si="7"/>
        <v>Average Cost</v>
      </c>
    </row>
    <row r="29" spans="2:18" x14ac:dyDescent="0.25">
      <c r="B29" s="22" t="s">
        <v>101</v>
      </c>
      <c r="C29" s="17" t="s">
        <v>102</v>
      </c>
      <c r="D29" s="13" t="s">
        <v>103</v>
      </c>
      <c r="E29" s="13">
        <v>60</v>
      </c>
      <c r="F29" s="13">
        <v>30</v>
      </c>
      <c r="G29" s="13" t="s">
        <v>32</v>
      </c>
      <c r="H29" s="13">
        <f t="shared" si="8"/>
        <v>60</v>
      </c>
      <c r="I29" s="13" t="str">
        <f>+VLOOKUP(Table2[[#This Row],[Product Name]],Table2[[Product Name]:[Category]],5,0)</f>
        <v>Fashion</v>
      </c>
      <c r="J29" s="13" t="str">
        <f t="shared" si="1"/>
        <v>Dress</v>
      </c>
      <c r="K29" s="16" t="b">
        <v>1</v>
      </c>
      <c r="L29" s="13" t="s">
        <v>32</v>
      </c>
      <c r="M29" s="13" t="str">
        <f t="shared" si="2"/>
        <v>07-MAR</v>
      </c>
      <c r="N29" s="13" t="str">
        <f t="shared" si="3"/>
        <v>CA</v>
      </c>
      <c r="O29" s="19" t="str">
        <f t="shared" si="4"/>
        <v>07-03-2026</v>
      </c>
      <c r="P29" s="19" t="str">
        <f t="shared" si="5"/>
        <v>Dress Zara</v>
      </c>
      <c r="Q29" s="21">
        <f t="shared" si="6"/>
        <v>60</v>
      </c>
      <c r="R29" s="24" t="str">
        <f t="shared" si="7"/>
        <v>Low Cost</v>
      </c>
    </row>
    <row r="30" spans="2:18" x14ac:dyDescent="0.25">
      <c r="B30" s="23" t="s">
        <v>104</v>
      </c>
      <c r="C30" s="18" t="s">
        <v>105</v>
      </c>
      <c r="D30" s="14" t="s">
        <v>106</v>
      </c>
      <c r="E30" s="14">
        <v>40</v>
      </c>
      <c r="F30" s="14">
        <v>10</v>
      </c>
      <c r="G30" s="14" t="s">
        <v>36</v>
      </c>
      <c r="H30" s="13">
        <f t="shared" si="8"/>
        <v>40</v>
      </c>
      <c r="I30" s="13" t="str">
        <f>+VLOOKUP(Table2[[#This Row],[Product Name]],Table2[[Product Name]:[Category]],5,0)</f>
        <v>Kitchen</v>
      </c>
      <c r="J30" s="13" t="str">
        <f t="shared" si="1"/>
        <v>Toaster</v>
      </c>
      <c r="K30" s="16" t="b">
        <v>1</v>
      </c>
      <c r="L30" s="14" t="s">
        <v>36</v>
      </c>
      <c r="M30" s="13" t="str">
        <f t="shared" si="2"/>
        <v>13-APR</v>
      </c>
      <c r="N30" s="13" t="str">
        <f t="shared" si="3"/>
        <v>CA</v>
      </c>
      <c r="O30" s="19" t="str">
        <f t="shared" si="4"/>
        <v>13-04-2026</v>
      </c>
      <c r="P30" s="19" t="str">
        <f t="shared" si="5"/>
        <v>Toaster Hamilton</v>
      </c>
      <c r="Q30" s="21">
        <f t="shared" si="6"/>
        <v>40</v>
      </c>
      <c r="R30" s="24" t="str">
        <f t="shared" si="7"/>
        <v>Low Cost</v>
      </c>
    </row>
    <row r="31" spans="2:18" ht="26.4" x14ac:dyDescent="0.25">
      <c r="B31" s="22" t="s">
        <v>107</v>
      </c>
      <c r="C31" s="17" t="s">
        <v>92</v>
      </c>
      <c r="D31" s="13" t="s">
        <v>108</v>
      </c>
      <c r="E31" s="13">
        <v>130</v>
      </c>
      <c r="F31" s="13">
        <v>5</v>
      </c>
      <c r="G31" s="13" t="s">
        <v>28</v>
      </c>
      <c r="H31" s="13">
        <f t="shared" si="8"/>
        <v>130</v>
      </c>
      <c r="I31" s="13">
        <f>+VLOOKUP(Table2[[#This Row],[Product Name]],Table2[[Product Name]:[Category]],5,0)</f>
        <v>0</v>
      </c>
      <c r="J31" s="13" t="str">
        <f t="shared" si="1"/>
        <v>Fitness Tracker</v>
      </c>
      <c r="K31" s="16" t="b">
        <v>1</v>
      </c>
      <c r="L31" s="13" t="s">
        <v>28</v>
      </c>
      <c r="M31" s="13" t="str">
        <f t="shared" si="2"/>
        <v>24-MAY</v>
      </c>
      <c r="N31" s="13" t="str">
        <f t="shared" si="3"/>
        <v>CA</v>
      </c>
      <c r="O31" s="19" t="str">
        <f t="shared" si="4"/>
        <v>24-05-2026</v>
      </c>
      <c r="P31" s="19" t="str">
        <f t="shared" si="5"/>
        <v>Fitness Tracker Garmin</v>
      </c>
      <c r="Q31" s="21">
        <f t="shared" si="6"/>
        <v>130</v>
      </c>
      <c r="R31" s="24" t="str">
        <f t="shared" si="7"/>
        <v>Low Cost</v>
      </c>
    </row>
    <row r="32" spans="2:18" x14ac:dyDescent="0.25">
      <c r="B32" s="23" t="s">
        <v>109</v>
      </c>
      <c r="C32" s="18" t="s">
        <v>110</v>
      </c>
      <c r="D32" s="14" t="s">
        <v>111</v>
      </c>
      <c r="E32" s="14">
        <v>50</v>
      </c>
      <c r="F32" s="14">
        <v>50</v>
      </c>
      <c r="G32" s="14" t="s">
        <v>32</v>
      </c>
      <c r="H32" s="13">
        <f t="shared" si="8"/>
        <v>50</v>
      </c>
      <c r="I32" s="13" t="str">
        <f>+VLOOKUP(Table2[[#This Row],[Product Name]],Table2[[Product Name]:[Category]],5,0)</f>
        <v>Fashion</v>
      </c>
      <c r="J32" s="13" t="str">
        <f t="shared" si="1"/>
        <v>Jeans</v>
      </c>
      <c r="K32" s="16" t="b">
        <v>1</v>
      </c>
      <c r="L32" s="14" t="s">
        <v>32</v>
      </c>
      <c r="M32" s="13" t="str">
        <f t="shared" si="2"/>
        <v>02-DEC</v>
      </c>
      <c r="N32" s="13" t="str">
        <f t="shared" si="3"/>
        <v>CA</v>
      </c>
      <c r="O32" s="19" t="str">
        <f t="shared" si="4"/>
        <v>02-12-2026</v>
      </c>
      <c r="P32" s="19" t="str">
        <f t="shared" si="5"/>
        <v>Jeans Levi's</v>
      </c>
      <c r="Q32" s="21">
        <f t="shared" si="6"/>
        <v>50</v>
      </c>
      <c r="R32" s="24" t="str">
        <f t="shared" si="7"/>
        <v>Low Cost</v>
      </c>
    </row>
    <row r="33" spans="2:18" x14ac:dyDescent="0.25">
      <c r="B33" s="28" t="s">
        <v>112</v>
      </c>
      <c r="C33" s="29" t="s">
        <v>113</v>
      </c>
      <c r="D33" s="30" t="s">
        <v>114</v>
      </c>
      <c r="E33" s="30">
        <v>100</v>
      </c>
      <c r="F33" s="30">
        <v>20</v>
      </c>
      <c r="G33" s="30" t="s">
        <v>74</v>
      </c>
      <c r="H33" s="31">
        <f t="shared" si="8"/>
        <v>100</v>
      </c>
      <c r="I33" s="31" t="str">
        <f>+VLOOKUP(Table2[[#This Row],[Product Name]],Table2[[Product Name]:[Category]],5,0)</f>
        <v>Accessories</v>
      </c>
      <c r="J33" s="31" t="str">
        <f t="shared" si="1"/>
        <v>Watch</v>
      </c>
      <c r="K33" s="32" t="b">
        <v>1</v>
      </c>
      <c r="L33" s="30" t="s">
        <v>74</v>
      </c>
      <c r="M33" s="31" t="str">
        <f t="shared" si="2"/>
        <v>09-JUL</v>
      </c>
      <c r="N33" s="31" t="str">
        <f t="shared" si="3"/>
        <v>FR</v>
      </c>
      <c r="O33" s="33" t="str">
        <f t="shared" si="4"/>
        <v>09-07-2026</v>
      </c>
      <c r="P33" s="33" t="str">
        <f t="shared" si="5"/>
        <v>Watch Casio</v>
      </c>
      <c r="Q33" s="34">
        <f t="shared" si="6"/>
        <v>100</v>
      </c>
      <c r="R33" s="35" t="str">
        <f t="shared" si="7"/>
        <v>Low Cost</v>
      </c>
    </row>
  </sheetData>
  <conditionalFormatting sqref="G3:G33">
    <cfRule type="cellIs" dxfId="22" priority="1" operator="equal">
      <formula>"Electronics"</formula>
    </cfRule>
  </conditionalFormatting>
  <dataValidations count="1">
    <dataValidation type="list" allowBlank="1" showInputMessage="1" showErrorMessage="1" sqref="K3:K33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B21" sqref="B21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</row>
    <row r="8" spans="1:16" ht="15.75" customHeight="1" x14ac:dyDescent="0.25">
      <c r="A8" s="10" t="s">
        <v>46</v>
      </c>
      <c r="B8" s="10" t="s">
        <v>47</v>
      </c>
      <c r="C8" s="10" t="s">
        <v>48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49</v>
      </c>
      <c r="B9" s="11" t="s">
        <v>50</v>
      </c>
      <c r="C9" s="11" t="s">
        <v>51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52</v>
      </c>
      <c r="B10" s="10" t="s">
        <v>53</v>
      </c>
      <c r="C10" s="10" t="s">
        <v>54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55</v>
      </c>
      <c r="B11" s="11" t="s">
        <v>56</v>
      </c>
      <c r="C11" s="11" t="s">
        <v>57</v>
      </c>
      <c r="D11" s="11">
        <v>130</v>
      </c>
      <c r="E11" s="11">
        <v>10</v>
      </c>
      <c r="F11" s="11" t="s">
        <v>58</v>
      </c>
    </row>
    <row r="12" spans="1:16" ht="15.75" customHeight="1" x14ac:dyDescent="0.25">
      <c r="A12" s="10" t="s">
        <v>59</v>
      </c>
      <c r="B12" s="10" t="s">
        <v>60</v>
      </c>
      <c r="C12" s="10" t="s">
        <v>61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62</v>
      </c>
      <c r="B13" s="11" t="s">
        <v>30</v>
      </c>
      <c r="C13" s="11" t="s">
        <v>48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63</v>
      </c>
      <c r="B14" s="10" t="s">
        <v>34</v>
      </c>
      <c r="C14" s="10" t="s">
        <v>64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65</v>
      </c>
      <c r="B15" s="11" t="s">
        <v>66</v>
      </c>
      <c r="C15" s="11" t="s">
        <v>67</v>
      </c>
      <c r="D15" s="11">
        <v>150</v>
      </c>
      <c r="E15" s="11">
        <v>15</v>
      </c>
      <c r="F15" s="11" t="s">
        <v>28</v>
      </c>
    </row>
    <row r="16" spans="1:16" ht="15.75" customHeight="1" x14ac:dyDescent="0.25">
      <c r="A16" s="10" t="s">
        <v>68</v>
      </c>
      <c r="B16" s="10" t="s">
        <v>69</v>
      </c>
      <c r="C16" s="10" t="s">
        <v>70</v>
      </c>
      <c r="D16" s="10">
        <v>250</v>
      </c>
      <c r="E16" s="10">
        <v>20</v>
      </c>
      <c r="F16" s="10" t="s">
        <v>28</v>
      </c>
    </row>
    <row r="17" spans="1:6" ht="15.75" customHeight="1" x14ac:dyDescent="0.25">
      <c r="A17" s="11" t="s">
        <v>71</v>
      </c>
      <c r="B17" s="11" t="s">
        <v>72</v>
      </c>
      <c r="C17" s="11" t="s">
        <v>73</v>
      </c>
      <c r="D17" s="11">
        <v>50</v>
      </c>
      <c r="E17" s="11">
        <v>35</v>
      </c>
      <c r="F17" s="11" t="s">
        <v>74</v>
      </c>
    </row>
    <row r="18" spans="1:6" ht="15.75" customHeight="1" x14ac:dyDescent="0.25">
      <c r="A18" s="10" t="s">
        <v>75</v>
      </c>
      <c r="B18" s="10" t="s">
        <v>66</v>
      </c>
      <c r="C18" s="10" t="s">
        <v>76</v>
      </c>
      <c r="D18" s="10">
        <v>160</v>
      </c>
      <c r="E18" s="10">
        <v>15</v>
      </c>
      <c r="F18" s="10" t="s">
        <v>28</v>
      </c>
    </row>
    <row r="19" spans="1:6" ht="15.75" customHeight="1" x14ac:dyDescent="0.25">
      <c r="A19" s="11" t="s">
        <v>77</v>
      </c>
      <c r="B19" s="11" t="s">
        <v>26</v>
      </c>
      <c r="C19" s="11" t="s">
        <v>78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79</v>
      </c>
      <c r="B20" s="10" t="s">
        <v>80</v>
      </c>
      <c r="C20" s="10" t="s">
        <v>81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82</v>
      </c>
      <c r="B21" s="11" t="s">
        <v>83</v>
      </c>
      <c r="C21" s="11" t="s">
        <v>84</v>
      </c>
      <c r="D21" s="11"/>
      <c r="E21" s="11">
        <v>10</v>
      </c>
      <c r="F21" s="11" t="s">
        <v>58</v>
      </c>
    </row>
    <row r="22" spans="1:6" ht="15.75" customHeight="1" x14ac:dyDescent="0.25">
      <c r="A22" s="10" t="s">
        <v>85</v>
      </c>
      <c r="B22" s="10" t="s">
        <v>86</v>
      </c>
      <c r="C22" s="10" t="s">
        <v>87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88</v>
      </c>
      <c r="B23" s="11" t="s">
        <v>89</v>
      </c>
      <c r="C23" s="11" t="s">
        <v>90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91</v>
      </c>
      <c r="B24" s="10" t="s">
        <v>92</v>
      </c>
      <c r="C24" s="10" t="s">
        <v>93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71</v>
      </c>
      <c r="B25" s="11" t="s">
        <v>72</v>
      </c>
      <c r="C25" s="11" t="s">
        <v>73</v>
      </c>
      <c r="D25" s="11">
        <v>50</v>
      </c>
      <c r="E25" s="11">
        <v>35</v>
      </c>
      <c r="F25" s="11" t="s">
        <v>74</v>
      </c>
    </row>
    <row r="26" spans="1:6" ht="15.75" customHeight="1" x14ac:dyDescent="0.25">
      <c r="A26" s="10" t="s">
        <v>94</v>
      </c>
      <c r="B26" s="10" t="s">
        <v>95</v>
      </c>
      <c r="C26" s="10" t="s">
        <v>96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97</v>
      </c>
      <c r="B27" s="11" t="s">
        <v>80</v>
      </c>
      <c r="C27" s="11" t="s">
        <v>98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99</v>
      </c>
      <c r="B28" s="10" t="s">
        <v>50</v>
      </c>
      <c r="C28" s="10" t="s">
        <v>100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68</v>
      </c>
      <c r="B29" s="11" t="s">
        <v>69</v>
      </c>
      <c r="C29" s="11" t="s">
        <v>70</v>
      </c>
      <c r="D29" s="11">
        <v>250</v>
      </c>
      <c r="E29" s="11">
        <v>20</v>
      </c>
      <c r="F29" s="11" t="s">
        <v>28</v>
      </c>
    </row>
    <row r="30" spans="1:6" ht="15.75" customHeight="1" x14ac:dyDescent="0.25">
      <c r="A30" s="10" t="s">
        <v>101</v>
      </c>
      <c r="B30" s="10" t="s">
        <v>102</v>
      </c>
      <c r="C30" s="10" t="s">
        <v>103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104</v>
      </c>
      <c r="B31" s="11" t="s">
        <v>105</v>
      </c>
      <c r="C31" s="11" t="s">
        <v>106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107</v>
      </c>
      <c r="B32" s="10" t="s">
        <v>92</v>
      </c>
      <c r="C32" s="10" t="s">
        <v>108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109</v>
      </c>
      <c r="B33" s="11" t="s">
        <v>110</v>
      </c>
      <c r="C33" s="11" t="s">
        <v>111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59</v>
      </c>
      <c r="B34" s="10" t="s">
        <v>60</v>
      </c>
      <c r="C34" s="10" t="s">
        <v>61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112</v>
      </c>
      <c r="B35" s="11" t="s">
        <v>113</v>
      </c>
      <c r="C35" s="11" t="s">
        <v>114</v>
      </c>
      <c r="D35" s="11">
        <v>100</v>
      </c>
      <c r="E35" s="11">
        <v>20</v>
      </c>
      <c r="F35" s="11" t="s">
        <v>74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Woking Output Sheet</vt:lpstr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2026-04-21T06:15:56Z</dcterms:modified>
</cp:coreProperties>
</file>