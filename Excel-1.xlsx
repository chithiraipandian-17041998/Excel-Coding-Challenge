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bookViews>
    <workbookView xWindow="0" yWindow="0" windowWidth="23040" windowHeight="7824"/>
  </bookViews>
  <sheets>
    <sheet name="Formulas" sheetId="2" r:id="rId1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2" l="1"/>
  <c r="D11" i="2"/>
  <c r="E11" i="2"/>
  <c r="E16" i="2"/>
  <c r="E15" i="2"/>
  <c r="E14" i="2"/>
  <c r="E13" i="2"/>
  <c r="E12" i="2"/>
  <c r="D16" i="2"/>
  <c r="D15" i="2"/>
  <c r="D14" i="2"/>
  <c r="D13" i="2"/>
  <c r="D12" i="2"/>
  <c r="C14" i="2"/>
  <c r="C13" i="2"/>
  <c r="C12" i="2"/>
  <c r="C15" i="2"/>
  <c r="C16" i="2"/>
</calcChain>
</file>

<file path=xl/sharedStrings.xml><?xml version="1.0" encoding="utf-8"?>
<sst xmlns="http://schemas.openxmlformats.org/spreadsheetml/2006/main" count="29" uniqueCount="22">
  <si>
    <t>Employee Name (A)</t>
  </si>
  <si>
    <t>Department (B)</t>
  </si>
  <si>
    <t>Salary (C)</t>
  </si>
  <si>
    <t>Overtime Hours (D)</t>
  </si>
  <si>
    <t>Performance Score (E)</t>
  </si>
  <si>
    <t>Arun</t>
  </si>
  <si>
    <t>Maintenance</t>
  </si>
  <si>
    <t>Suresh</t>
  </si>
  <si>
    <t>Production</t>
  </si>
  <si>
    <t>Mani</t>
  </si>
  <si>
    <t>Divya</t>
  </si>
  <si>
    <t>Quality</t>
  </si>
  <si>
    <t>Rajesh</t>
  </si>
  <si>
    <t>Kavitha</t>
  </si>
  <si>
    <t>Balu</t>
  </si>
  <si>
    <t>Sum</t>
  </si>
  <si>
    <t>Average</t>
  </si>
  <si>
    <t>Maximum</t>
  </si>
  <si>
    <t>Minimum</t>
  </si>
  <si>
    <t>CountA</t>
  </si>
  <si>
    <t>Countif</t>
  </si>
  <si>
    <t xml:space="preserve">Description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</si>
</sst>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"/>
  </numFmts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0" fillId="0" borderId="1" xfId="0" applyBorder="1"/>
    <xf numFmtId="176" fontId="0" fillId="0" borderId="1" xfId="0" applyNumberFormat="1" applyBorder="1"/>
    <xf numFmtId="0" fontId="1" fillId="0" borderId="2" xfId="0" applyFont="1" applyFill="1" applyBorder="1" applyAlignment="1">
      <alignment horizontal="center" vertical="center" wrapText="1" readingOrder="1"/>
    </xf>
    <xf numFmtId="0" fontId="0" fillId="0" borderId="3" xfId="0" applyBorder="1"/>
    <xf numFmtId="0" fontId="1" fillId="0" borderId="5" xfId="0" applyFont="1" applyFill="1" applyBorder="1" applyAlignment="1">
      <alignment horizontal="center" vertical="center" wrapText="1" readingOrder="1"/>
    </xf>
    <xf numFmtId="0" fontId="0" fillId="0" borderId="6" xfId="0" applyBorder="1"/>
    <xf numFmtId="0" fontId="0" fillId="0" borderId="7" xfId="0" applyBorder="1"/>
    <xf numFmtId="0" fontId="1" fillId="2" borderId="4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8">
    <dxf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B10:E16" totalsRowShown="0" headerRowDxfId="0" headerRowBorderDxfId="2" tableBorderDxfId="3" totalsRowBorderDxfId="1">
  <autoFilter ref="B10:E16"/>
  <tableColumns count="4">
    <tableColumn id="1" name="Description " dataDxfId="7"/>
    <tableColumn id="2" name="Salary (C)" dataDxfId="6"/>
    <tableColumn id="3" name="Overtime Hours (D)" dataDxfId="5"/>
    <tableColumn id="4" name="Performance Score (E)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workbookViewId="0">
      <selection activeCell="E21" sqref="E21"/>
    </sheetView>
  </sheetViews>
  <sheetFormatPr defaultRowHeight="14.4" x14ac:dyDescent="0.3"/>
  <cols>
    <col min="1" max="1" width="13.21875" customWidth="1"/>
    <col min="2" max="2" width="13.5546875" customWidth="1"/>
    <col min="3" max="3" width="12.88671875" customWidth="1"/>
    <col min="4" max="4" width="13.88671875" customWidth="1"/>
    <col min="5" max="5" width="18.6640625" bestFit="1" customWidth="1"/>
  </cols>
  <sheetData>
    <row r="1" spans="1:5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2" t="s">
        <v>6</v>
      </c>
      <c r="C2" s="2">
        <v>28000</v>
      </c>
      <c r="D2" s="2">
        <v>12</v>
      </c>
      <c r="E2" s="2">
        <v>8.5</v>
      </c>
    </row>
    <row r="3" spans="1:5" x14ac:dyDescent="0.3">
      <c r="A3" s="1" t="s">
        <v>7</v>
      </c>
      <c r="B3" s="2" t="s">
        <v>8</v>
      </c>
      <c r="C3" s="2">
        <v>25000</v>
      </c>
      <c r="D3" s="2">
        <v>5</v>
      </c>
      <c r="E3" s="2">
        <v>7.2</v>
      </c>
    </row>
    <row r="4" spans="1:5" x14ac:dyDescent="0.3">
      <c r="A4" s="1" t="s">
        <v>9</v>
      </c>
      <c r="B4" s="2" t="s">
        <v>6</v>
      </c>
      <c r="C4" s="2">
        <v>30000</v>
      </c>
      <c r="D4" s="2">
        <v>8</v>
      </c>
      <c r="E4" s="2">
        <v>9</v>
      </c>
    </row>
    <row r="5" spans="1:5" x14ac:dyDescent="0.3">
      <c r="A5" s="1" t="s">
        <v>10</v>
      </c>
      <c r="B5" s="2" t="s">
        <v>11</v>
      </c>
      <c r="C5" s="2">
        <v>22000</v>
      </c>
      <c r="D5" s="2">
        <v>15</v>
      </c>
      <c r="E5" s="2">
        <v>6.5</v>
      </c>
    </row>
    <row r="6" spans="1:5" x14ac:dyDescent="0.3">
      <c r="A6" s="1" t="s">
        <v>12</v>
      </c>
      <c r="B6" s="2" t="s">
        <v>8</v>
      </c>
      <c r="C6" s="2">
        <v>26000</v>
      </c>
      <c r="D6" s="2">
        <v>10</v>
      </c>
      <c r="E6" s="2">
        <v>8.8000000000000007</v>
      </c>
    </row>
    <row r="7" spans="1:5" x14ac:dyDescent="0.3">
      <c r="A7" s="1" t="s">
        <v>13</v>
      </c>
      <c r="B7" s="2" t="s">
        <v>6</v>
      </c>
      <c r="C7" s="2">
        <v>29000</v>
      </c>
      <c r="D7" s="2">
        <v>4</v>
      </c>
      <c r="E7" s="2">
        <v>7.9</v>
      </c>
    </row>
    <row r="8" spans="1:5" x14ac:dyDescent="0.3">
      <c r="A8" s="1" t="s">
        <v>14</v>
      </c>
      <c r="B8" s="2" t="s">
        <v>11</v>
      </c>
      <c r="C8" s="2">
        <v>23000</v>
      </c>
      <c r="D8" s="2">
        <v>20</v>
      </c>
      <c r="E8" s="2">
        <v>9.5</v>
      </c>
    </row>
    <row r="10" spans="1:5" ht="27.6" x14ac:dyDescent="0.3">
      <c r="B10" s="10" t="s">
        <v>21</v>
      </c>
      <c r="C10" s="11" t="s">
        <v>2</v>
      </c>
      <c r="D10" s="11" t="s">
        <v>3</v>
      </c>
      <c r="E10" s="11" t="s">
        <v>4</v>
      </c>
    </row>
    <row r="11" spans="1:5" x14ac:dyDescent="0.3">
      <c r="B11" s="5" t="s">
        <v>15</v>
      </c>
      <c r="C11" s="3">
        <f>+SUM(C2:C8)</f>
        <v>183000</v>
      </c>
      <c r="D11" s="3">
        <f>+SUM(D2:D8)</f>
        <v>74</v>
      </c>
      <c r="E11" s="6">
        <f>+SUM(E2:E8)</f>
        <v>57.4</v>
      </c>
    </row>
    <row r="12" spans="1:5" x14ac:dyDescent="0.3">
      <c r="B12" s="5" t="s">
        <v>16</v>
      </c>
      <c r="C12" s="4">
        <f>+AVERAGE(C2:C8)</f>
        <v>26142.857142857141</v>
      </c>
      <c r="D12" s="4">
        <f>+AVERAGE(D2:D8)</f>
        <v>10.571428571428571</v>
      </c>
      <c r="E12" s="6">
        <f>+AVERAGE(E2:E8)</f>
        <v>8.1999999999999993</v>
      </c>
    </row>
    <row r="13" spans="1:5" x14ac:dyDescent="0.3">
      <c r="B13" s="5" t="s">
        <v>17</v>
      </c>
      <c r="C13" s="3">
        <f>+MAX(C2:C8)</f>
        <v>30000</v>
      </c>
      <c r="D13" s="3">
        <f>+MAX(D2:D8)</f>
        <v>20</v>
      </c>
      <c r="E13" s="6">
        <f>+MAX(E2:E8)</f>
        <v>9.5</v>
      </c>
    </row>
    <row r="14" spans="1:5" x14ac:dyDescent="0.3">
      <c r="B14" s="5" t="s">
        <v>18</v>
      </c>
      <c r="C14" s="3">
        <f>+MIN(C2:C8)</f>
        <v>22000</v>
      </c>
      <c r="D14" s="3">
        <f>+MIN(D2:D8)</f>
        <v>4</v>
      </c>
      <c r="E14" s="6">
        <f>+MIN(E2:E8)</f>
        <v>6.5</v>
      </c>
    </row>
    <row r="15" spans="1:5" x14ac:dyDescent="0.3">
      <c r="B15" s="5" t="s">
        <v>19</v>
      </c>
      <c r="C15" s="3">
        <f>+COUNTA(C2:C8)</f>
        <v>7</v>
      </c>
      <c r="D15" s="3">
        <f>+COUNTA(D2:D8)</f>
        <v>7</v>
      </c>
      <c r="E15" s="6">
        <f>+COUNTA(E2:E8)</f>
        <v>7</v>
      </c>
    </row>
    <row r="16" spans="1:5" x14ac:dyDescent="0.3">
      <c r="B16" s="7" t="s">
        <v>20</v>
      </c>
      <c r="C16" s="8">
        <f>COUNTIF(C2:C8, "&gt;25000")</f>
        <v>4</v>
      </c>
      <c r="D16" s="8">
        <f>COUNTIF(D2:D8, "&gt;25000")</f>
        <v>0</v>
      </c>
      <c r="E16" s="9">
        <f>COUNTIF(E2:E8, "&gt;25000")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2026-03-31T06:03:46Z</dcterms:created>
  <dcterms:modified xsi:type="dcterms:W3CDTF">2026-03-31T06:15:50Z</dcterms:modified>
</cp:coreProperties>
</file>